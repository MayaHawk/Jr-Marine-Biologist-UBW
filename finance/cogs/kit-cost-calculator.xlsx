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t Cost Calculator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2"/>
    </font>
    <font>
      <name val="Arial"/>
      <b val="1"/>
      <i val="1"/>
      <color rgb="00C00000"/>
      <sz val="9"/>
    </font>
    <font>
      <name val="Arial"/>
      <b val="1"/>
      <color rgb="00006100"/>
      <sz val="10"/>
    </font>
    <font>
      <name val="Arial"/>
      <i val="1"/>
      <color rgb="00006100"/>
      <sz val="9"/>
    </font>
    <font>
      <name val="Arial"/>
      <b val="1"/>
      <color rgb="009C6500"/>
      <sz val="10"/>
    </font>
    <font>
      <name val="Arial"/>
      <i val="1"/>
      <color rgb="009C6500"/>
      <sz val="9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164" fontId="5" fillId="3" borderId="1" pivotButton="0" quotePrefix="0" xfId="0"/>
    <xf numFmtId="164" fontId="6" fillId="0" borderId="1" pivotButton="0" quotePrefix="0" xfId="0"/>
    <xf numFmtId="165" fontId="5" fillId="3" borderId="1" pivotButton="0" quotePrefix="0" xfId="0"/>
    <xf numFmtId="0" fontId="6" fillId="0" borderId="1" pivotButton="0" quotePrefix="0" xfId="0"/>
    <xf numFmtId="164" fontId="7" fillId="4" borderId="1" pivotButton="0" quotePrefix="0" xfId="0"/>
    <xf numFmtId="165" fontId="7" fillId="4" borderId="1" pivotButton="0" quotePrefix="0" xfId="0"/>
    <xf numFmtId="166" fontId="6" fillId="0" borderId="1" pivotButton="0" quotePrefix="0" xfId="0"/>
    <xf numFmtId="165" fontId="6" fillId="0" borderId="1" pivotButton="0" quotePrefix="0" xfId="0"/>
    <xf numFmtId="0" fontId="8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164" fontId="9" fillId="5" borderId="1" pivotButton="0" quotePrefix="0" xfId="0"/>
    <xf numFmtId="0" fontId="10" fillId="0" borderId="0" pivotButton="0" quotePrefix="0" xfId="0"/>
    <xf numFmtId="164" fontId="11" fillId="6" borderId="1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62" customWidth="1" min="3" max="3"/>
  </cols>
  <sheetData>
    <row r="1">
      <c r="A1" s="1" t="inlineStr">
        <is>
          <t>What One Kit Actually Costs You</t>
        </is>
      </c>
    </row>
    <row r="2">
      <c r="A2" s="2" t="inlineStr">
        <is>
          <t>Fill in the YELLOW cells with real numbers. Everything else calculates. Leave a cell at 0 until you know it.</t>
        </is>
      </c>
    </row>
    <row r="4">
      <c r="A4" s="3" t="inlineStr">
        <is>
          <t>A. MATERIALS PER KIT</t>
        </is>
      </c>
      <c r="B4" s="4" t="n"/>
      <c r="C4" s="4" t="n"/>
    </row>
    <row r="5">
      <c r="A5" s="5" t="inlineStr">
        <is>
          <t>Mailer box</t>
        </is>
      </c>
      <c r="B5" s="17" t="n">
        <v>1.46</v>
      </c>
      <c r="C5" s="18" t="inlineStr">
        <is>
          <t>CONFIRMED - BoxUp order 1086099. True landed cost incl. tax + freight ($4,385.70 / 3000).</t>
        </is>
      </c>
    </row>
    <row r="6">
      <c r="A6" s="5" t="inlineStr">
        <is>
          <t>Collectible flash cards (5+)</t>
        </is>
      </c>
      <c r="B6" s="19" t="n">
        <v>4.97</v>
      </c>
      <c r="C6" s="20" t="inlineStr">
        <is>
          <t>CEILING, not your real cost. 7 cards x $0.71 TRIAL printing at Office Depot. Bulk should come in lower - get a quote.</t>
        </is>
      </c>
    </row>
    <row r="7">
      <c r="A7" s="5" t="inlineStr">
        <is>
          <t>Sticker sheet</t>
        </is>
      </c>
      <c r="B7" s="6" t="n">
        <v>0</v>
      </c>
      <c r="C7" s="2" t="inlineStr">
        <is>
          <t>Quote a kiss-cut SHEET, not individual stickers</t>
        </is>
      </c>
    </row>
    <row r="8">
      <c r="A8" s="5" t="inlineStr">
        <is>
          <t>Certificate of Completion</t>
        </is>
      </c>
      <c r="B8" s="6" t="n">
        <v>0</v>
      </c>
      <c r="C8" s="2" t="inlineStr">
        <is>
          <t>Cardstock + ink if printed at home. Ink is usually underestimated.</t>
        </is>
      </c>
    </row>
    <row r="9">
      <c r="A9" s="5" t="inlineStr">
        <is>
          <t>Activity materials (the 5 STEAM activities)</t>
        </is>
      </c>
      <c r="B9" s="6" t="n">
        <v>0</v>
      </c>
      <c r="C9" s="2" t="inlineStr">
        <is>
          <t>&lt;-- BIGGEST UNKNOWN. Differs for every topic.</t>
        </is>
      </c>
    </row>
    <row r="10">
      <c r="A10" s="5" t="inlineStr">
        <is>
          <t>Instruction guide / activity sheets</t>
        </is>
      </c>
      <c r="B10" s="6" t="n">
        <v>0</v>
      </c>
      <c r="C10" s="2" t="inlineStr">
        <is>
          <t>Paper + ink, or printer cost</t>
        </is>
      </c>
    </row>
    <row r="11">
      <c r="A11" s="5" t="inlineStr">
        <is>
          <t>Void fill / packing material</t>
        </is>
      </c>
      <c r="B11" s="6" t="n">
        <v>0</v>
      </c>
      <c r="C11" s="2" t="inlineStr"/>
    </row>
    <row r="12">
      <c r="A12" s="5" t="inlineStr">
        <is>
          <t>Shipping label</t>
        </is>
      </c>
      <c r="B12" s="6" t="n">
        <v>0</v>
      </c>
      <c r="C12" s="2" t="inlineStr">
        <is>
          <t>Label stock</t>
        </is>
      </c>
    </row>
    <row r="13">
      <c r="A13" s="5" t="inlineStr">
        <is>
          <t>Your labour (10 min/kit)</t>
        </is>
      </c>
      <c r="B13" s="19" t="n">
        <v>3.33</v>
      </c>
      <c r="C13" s="20" t="inlineStr">
        <is>
          <t>10 min/kit CONFIRMED by Maya, valued at $20/hr. Change the rate to what your time is worth.</t>
        </is>
      </c>
    </row>
    <row r="14">
      <c r="A14" s="5" t="inlineStr">
        <is>
          <t>MATERIALS SUBTOTAL</t>
        </is>
      </c>
      <c r="B14" s="7">
        <f>SUM(B5:B13)</f>
        <v/>
      </c>
      <c r="C14" s="2" t="inlineStr"/>
    </row>
    <row r="16">
      <c r="A16" s="3" t="inlineStr">
        <is>
          <t>B. SHIPPING  (you ship free, so this is yours to absorb)</t>
        </is>
      </c>
      <c r="B16" s="4" t="n"/>
      <c r="C16" s="4" t="n"/>
    </row>
    <row r="17">
      <c r="A17" s="5" t="inlineStr">
        <is>
          <t>Postage you actually pay per box</t>
        </is>
      </c>
      <c r="B17" s="6" t="n">
        <v>0</v>
      </c>
      <c r="C17" s="2" t="inlineStr">
        <is>
          <t>From your USPS Click-N-Ship Shipping History</t>
        </is>
      </c>
    </row>
    <row r="19">
      <c r="A19" s="3" t="inlineStr">
        <is>
          <t>C. YOUR PRICE AND THE FEES TAKEN OUT</t>
        </is>
      </c>
      <c r="B19" s="4" t="n"/>
      <c r="C19" s="4" t="n"/>
    </row>
    <row r="20">
      <c r="A20" s="5" t="inlineStr">
        <is>
          <t>Selling price of one kit</t>
        </is>
      </c>
      <c r="B20" s="6" t="n">
        <v>0</v>
      </c>
      <c r="C20" s="2" t="inlineStr">
        <is>
          <t>What the customer pays</t>
        </is>
      </c>
    </row>
    <row r="21">
      <c r="A21" s="5" t="inlineStr">
        <is>
          <t>Payment processing rate</t>
        </is>
      </c>
      <c r="B21" s="8" t="n">
        <v>0.029</v>
      </c>
      <c r="C21" s="2" t="inlineStr">
        <is>
          <t>Typical card rate is about 2.9%. Check your processor.</t>
        </is>
      </c>
    </row>
    <row r="22">
      <c r="A22" s="5" t="inlineStr">
        <is>
          <t>Payment processing fixed fee</t>
        </is>
      </c>
      <c r="B22" s="6" t="n">
        <v>0.3</v>
      </c>
      <c r="C22" s="2" t="inlineStr">
        <is>
          <t>Often about $0.30 per transaction</t>
        </is>
      </c>
    </row>
    <row r="23">
      <c r="A23" s="5" t="inlineStr">
        <is>
          <t>Processing cost per kit</t>
        </is>
      </c>
      <c r="B23" s="7">
        <f>B20*B21+B22</f>
        <v/>
      </c>
      <c r="C23" s="2" t="inlineStr"/>
    </row>
    <row r="25">
      <c r="A25" s="3" t="inlineStr">
        <is>
          <t>D. THE ANSWER</t>
        </is>
      </c>
      <c r="B25" s="4" t="n"/>
      <c r="C25" s="4" t="n"/>
    </row>
    <row r="26">
      <c r="A26" s="9" t="inlineStr">
        <is>
          <t>TOTAL COST PER KIT</t>
        </is>
      </c>
      <c r="B26" s="10">
        <f>B14+B17+B23</f>
        <v/>
      </c>
      <c r="C26" s="2" t="inlineStr">
        <is>
          <t>Materials + shipping + processing</t>
        </is>
      </c>
    </row>
    <row r="27">
      <c r="A27" s="9" t="inlineStr">
        <is>
          <t>GROSS PROFIT PER KIT</t>
        </is>
      </c>
      <c r="B27" s="10">
        <f>B20-B26</f>
        <v/>
      </c>
      <c r="C27" s="2" t="inlineStr">
        <is>
          <t>What is left before any fixed costs</t>
        </is>
      </c>
    </row>
    <row r="28">
      <c r="A28" s="9" t="inlineStr">
        <is>
          <t>GROSS MARGIN %</t>
        </is>
      </c>
      <c r="B28" s="11">
        <f>IF(B20=0,"",B27/B20)</f>
        <v/>
      </c>
      <c r="C28" s="2" t="inlineStr">
        <is>
          <t>Negative means you lose money on every kit sold</t>
        </is>
      </c>
    </row>
    <row r="30">
      <c r="A30" s="3" t="inlineStr">
        <is>
          <t>E. BREAK-EVEN</t>
        </is>
      </c>
      <c r="B30" s="4" t="n"/>
      <c r="C30" s="4" t="n"/>
    </row>
    <row r="31">
      <c r="A31" s="5" t="inlineStr">
        <is>
          <t>Your fixed costs per month</t>
        </is>
      </c>
      <c r="B31" s="6" t="n">
        <v>0</v>
      </c>
      <c r="C31" s="2" t="inlineStr">
        <is>
          <t>Software, storage, insurance, subscriptions - anything you pay regardless of sales</t>
        </is>
      </c>
    </row>
    <row r="32">
      <c r="A32" s="5" t="inlineStr">
        <is>
          <t>Kits per month to break even</t>
        </is>
      </c>
      <c r="B32" s="12">
        <f>IF(B27&lt;=0,"",B31/B27)</f>
        <v/>
      </c>
      <c r="C32" s="2" t="inlineStr">
        <is>
          <t>Blank means gross profit is zero or negative - fix that first</t>
        </is>
      </c>
    </row>
    <row r="34">
      <c r="A34" s="3" t="inlineStr">
        <is>
          <t>F. WHAT IF COSTS RISE</t>
        </is>
      </c>
      <c r="B34" s="4" t="n"/>
      <c r="C34" s="4" t="n"/>
    </row>
    <row r="35">
      <c r="A35" s="5" t="inlineStr">
        <is>
          <t>Gross profit if postage rises $2</t>
        </is>
      </c>
      <c r="B35" s="7">
        <f>IF(B20=0,"",B27-2)</f>
        <v/>
      </c>
      <c r="C35" s="2" t="inlineStr"/>
    </row>
    <row r="36">
      <c r="A36" s="5" t="inlineStr">
        <is>
          <t>Gross profit if materials rise 10%</t>
        </is>
      </c>
      <c r="B36" s="7">
        <f>IF(B20=0,"",B27-B14*0.1)</f>
        <v/>
      </c>
      <c r="C36" s="2" t="inlineStr"/>
    </row>
    <row r="37">
      <c r="A37" s="5" t="inlineStr">
        <is>
          <t>Margin if BOTH happen</t>
        </is>
      </c>
      <c r="B37" s="13">
        <f>IF(B20=0,"",(B27-2-B14*0.1)/B20)</f>
        <v/>
      </c>
      <c r="C37" s="2" t="inlineStr">
        <is>
          <t>If this goes negative, the model is fragile</t>
        </is>
      </c>
    </row>
    <row r="39">
      <c r="A39" s="2" t="inlineStr">
        <is>
          <t>ASSUMPTIONS BUILT IN: processing rate 2.9% + $0.30 are placeholders, not your confirmed rates.</t>
        </is>
      </c>
    </row>
    <row r="40">
      <c r="A40" s="2" t="inlineStr">
        <is>
          <t>This sheet counts NO cost for your own labour. Packing time is a real cost - track it separately.</t>
        </is>
      </c>
    </row>
    <row r="41">
      <c r="A41" s="14" t="inlineStr">
        <is>
          <t>Internal planning only. Not tax, accounting, or legal advice. For review by a licensed professional.</t>
        </is>
      </c>
    </row>
    <row r="43">
      <c r="A43" s="18" t="inlineStr">
        <is>
          <t>GREEN cells are CONFIRMED real costs from a receipt. Yellow cells still need your numbers.</t>
        </is>
      </c>
    </row>
    <row r="44">
      <c r="A44" s="20" t="inlineStr">
        <is>
          <t>AMBER cells are real but PROVISIONAL - a trial price or a placeholder. Treat as a ceiling, replace with a production quote.</t>
        </is>
      </c>
    </row>
    <row r="45">
      <c r="A45" s="20" t="inlineStr">
        <is>
          <t>Labour was never counted before 2026-09-19. At 10 min/kit it is ~7% of the $45.99 price.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How to use this calculator</t>
        </is>
      </c>
    </row>
    <row r="2">
      <c r="A2" s="15" t="inlineStr"/>
    </row>
    <row r="3">
      <c r="A3" s="16" t="inlineStr">
        <is>
          <t>1. Type into the YELLOW cells only. Everything else works itself out.</t>
        </is>
      </c>
    </row>
    <row r="4">
      <c r="A4" s="15" t="inlineStr"/>
    </row>
    <row r="5">
      <c r="A5" s="16" t="inlineStr">
        <is>
          <t>2. Start with the two numbers you can get today:</t>
        </is>
      </c>
    </row>
    <row r="6">
      <c r="A6" s="15" t="inlineStr">
        <is>
          <t xml:space="preserve">   - Postage per box: usps.com &gt; Click-N-Ship &gt; Shipping History</t>
        </is>
      </c>
    </row>
    <row r="7">
      <c r="A7" s="15" t="inlineStr">
        <is>
          <t xml:space="preserve">   - Selling price: your own store</t>
        </is>
      </c>
    </row>
    <row r="8">
      <c r="A8" s="15" t="inlineStr"/>
    </row>
    <row r="9">
      <c r="A9" s="16" t="inlineStr">
        <is>
          <t>3. Then cost ONE topic properly - the one you sell most.</t>
        </is>
      </c>
    </row>
    <row r="10">
      <c r="A10" s="15" t="inlineStr">
        <is>
          <t xml:space="preserve">   One accurate kit tells you whether the model works. All 24 can wait.</t>
        </is>
      </c>
    </row>
    <row r="11">
      <c r="A11" s="15" t="inlineStr"/>
    </row>
    <row r="12">
      <c r="A12" s="16" t="inlineStr">
        <is>
          <t>4. Read row 28, GROSS MARGIN %. That single number tells you whether this business works.</t>
        </is>
      </c>
    </row>
    <row r="13">
      <c r="A13" s="15" t="inlineStr">
        <is>
          <t xml:space="preserve">   If it is negative, you lose money on every kit sold and nothing else matters until it is fixed.</t>
        </is>
      </c>
    </row>
    <row r="14">
      <c r="A14" s="15" t="inlineStr"/>
    </row>
    <row r="15">
      <c r="A15" s="16" t="inlineStr">
        <is>
          <t>5. Row 32 tells you how many kits a month cover your fixed costs.</t>
        </is>
      </c>
    </row>
    <row r="16">
      <c r="A16" s="15" t="inlineStr"/>
    </row>
    <row r="17">
      <c r="A17" s="16" t="inlineStr">
        <is>
          <t>6. Section F asks whether you would survive costs rising. If margin goes negative there,</t>
        </is>
      </c>
    </row>
    <row r="18">
      <c r="A18" s="15" t="inlineStr">
        <is>
          <t xml:space="preserve">   the model is fragile even if today looks fine.</t>
        </is>
      </c>
    </row>
    <row r="19">
      <c r="A19" s="15" t="inlineStr"/>
    </row>
    <row r="20">
      <c r="A20" s="16" t="inlineStr">
        <is>
          <t>WHAT THIS DOES NOT COUNT:</t>
        </is>
      </c>
    </row>
    <row r="21">
      <c r="A21" s="15" t="inlineStr">
        <is>
          <t xml:space="preserve">   Your own time. Packing, printing and answering email are real costs.</t>
        </is>
      </c>
    </row>
    <row r="22">
      <c r="A22" s="15" t="inlineStr">
        <is>
          <t xml:space="preserve">   Time yourself packing three kits and you will know what an hour of fulfilment costs you.</t>
        </is>
      </c>
    </row>
    <row r="23">
      <c r="A23" s="15" t="inlineStr"/>
    </row>
    <row r="24">
      <c r="A24" s="16" t="inlineStr">
        <is>
          <t>WHERE THE RESEARCHED RANGES CAME FROM:</t>
        </is>
      </c>
    </row>
    <row r="25">
      <c r="A25" s="15" t="inlineStr">
        <is>
          <t xml:space="preserve">   finance/cogs/materials-research.md - public supplier pricing, with sources and dates.</t>
        </is>
      </c>
    </row>
    <row r="26">
      <c r="A26" s="15" t="inlineStr">
        <is>
          <t xml:space="preserve">   Those are planning ranges, NOT your costs and NOT quotes. Replace with real numbers.</t>
        </is>
      </c>
    </row>
    <row r="27">
      <c r="A27" s="15" t="inlineStr"/>
    </row>
    <row r="28">
      <c r="A28" s="15" t="inlineStr">
        <is>
          <t>NOTE ON BLANK CELLS: this file was built without a spreadsheet program available, so the</t>
        </is>
      </c>
    </row>
    <row r="29">
      <c r="A29" s="15" t="inlineStr">
        <is>
          <t>results are not pre-saved. Excel and Google Sheets recalculate the moment you open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2026-08-19T00:16:04Z</dcterms:created>
  <dcterms:modified xsi:type="dcterms:W3CDTF">2026-09-19T17:32:28Z</dcterms:modified>
</cp:coreProperties>
</file>